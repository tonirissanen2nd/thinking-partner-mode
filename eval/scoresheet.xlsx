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registration" sheetId="1" state="visible" r:id="rId3"/>
    <sheet name="Scoreshee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<sst xmlns="http://schemas.openxmlformats.org/spreadsheetml/2006/main" count="70" uniqueCount="50">
  <si>
    <t xml:space="preserve">Pre-registration — commit before running</t>
  </si>
  <si>
    <t xml:space="preserve">Fill and save (or git-commit) this sheet BEFORE seeing any result. It removes researcher degrees of freedom.</t>
  </si>
  <si>
    <t xml:space="preserve">Field</t>
  </si>
  <si>
    <t xml:space="preserve">Value</t>
  </si>
  <si>
    <t xml:space="preserve">Date</t>
  </si>
  <si>
    <t xml:space="preserve">Spec version (git SHA or tag)</t>
  </si>
  <si>
    <t xml:space="preserve">Primary outcome</t>
  </si>
  <si>
    <t xml:space="preserve">Downside-category performance (rows where scope = downside).</t>
  </si>
  <si>
    <t xml:space="preserve">Success criterion</t>
  </si>
  <si>
    <t xml:space="preserve">Spec wins or ties axes A (accuracy) and B (calibration) on trap rows AND does not lose axis C (contra) anywhere AND does not lose A/B/D on downside rows by more than a slight margin.</t>
  </si>
  <si>
    <t xml:space="preserve">Null result</t>
  </si>
  <si>
    <t xml:space="preserve">Roughly balanced A/B trap wins offset by downside D losses.</t>
  </si>
  <si>
    <t xml:space="preserve">Failure</t>
  </si>
  <si>
    <t xml:space="preserve">Spec loses axis C, or loses downside categories decisively.</t>
  </si>
  <si>
    <t xml:space="preserve">Judge families (name two)</t>
  </si>
  <si>
    <t xml:space="preserve">Agreement rule</t>
  </si>
  <si>
    <t xml:space="preserve">Axes agree if same winner; disagreement on an axis is recorded as 'contested', not averaged.</t>
  </si>
  <si>
    <t xml:space="preserve">Number of runs</t>
  </si>
  <si>
    <t xml:space="preserve">Primary control</t>
  </si>
  <si>
    <t xml:space="preserve">generic good-instruction ('be thorough, critical, honest'). plain-default is optional/secondary.</t>
  </si>
  <si>
    <t xml:space="preserve">run_id</t>
  </si>
  <si>
    <t xml:space="preserve">question_id</t>
  </si>
  <si>
    <t xml:space="preserve">group</t>
  </si>
  <si>
    <t xml:space="preserve">scope</t>
  </si>
  <si>
    <t xml:space="preserve">judge_family</t>
  </si>
  <si>
    <t xml:space="preserve">acc_winner</t>
  </si>
  <si>
    <t xml:space="preserve">acc_margin</t>
  </si>
  <si>
    <t xml:space="preserve">cal_winner</t>
  </si>
  <si>
    <t xml:space="preserve">cal_margin</t>
  </si>
  <si>
    <t xml:space="preserve">contra_winner</t>
  </si>
  <si>
    <t xml:space="preserve">contra_margin</t>
  </si>
  <si>
    <t xml:space="preserve">help_winner</t>
  </si>
  <si>
    <t xml:space="preserve">help_margin</t>
  </si>
  <si>
    <t xml:space="preserve">notes</t>
  </si>
  <si>
    <t xml:space="preserve">Summary — spec vs generic control</t>
  </si>
  <si>
    <t xml:space="preserve">Headline is the Downside block (highlighted). Counts auto-update from the Scoresheet. Contra axis: 'spec win' = spec was LESS contrarian (good).</t>
  </si>
  <si>
    <t xml:space="preserve">ALL rows</t>
  </si>
  <si>
    <t xml:space="preserve">Axis</t>
  </si>
  <si>
    <t xml:space="preserve">Spec wins</t>
  </si>
  <si>
    <t xml:space="preserve">Generic wins</t>
  </si>
  <si>
    <t xml:space="preserve">Ties</t>
  </si>
  <si>
    <t xml:space="preserve">Net (spec−gen)</t>
  </si>
  <si>
    <t xml:space="preserve">Margin-weighted net</t>
  </si>
  <si>
    <t xml:space="preserve">Accuracy (A)</t>
  </si>
  <si>
    <t xml:space="preserve">Calibration (B)</t>
  </si>
  <si>
    <t xml:space="preserve">Contra (C, less=better)</t>
  </si>
  <si>
    <t xml:space="preserve">Helpfulness (D)</t>
  </si>
  <si>
    <t xml:space="preserve">TRAP rows (T1–T6)</t>
  </si>
  <si>
    <t xml:space="preserve">DOWNSIDE rows (D1–D6) — HEADLINE</t>
  </si>
  <si>
    <t xml:space="preserve">Read against the pre-registration, not a fresh look at the numbers. Positive Net favors spec; on Contra, positive Net means spec was less contrarian. A spec that wins Trap but loses Downside is a register preference, not an improvement.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</si>
</sst>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4D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FFF9E6"/>
        <bgColor rgb="FFFFFFFF"/>
      </patternFill>
    </fill>
    <fill>
      <patternFill patternType="solid">
        <fgColor rgb="FFEAF3FB"/>
        <bgColor rgb="FFFDECEA"/>
      </patternFill>
    </fill>
    <fill>
      <patternFill patternType="solid">
        <fgColor rgb="FFFDECEA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E6"/>
      <rgbColor rgb="FFEA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/>
    </row>
    <row r="6" customFormat="false" ht="15" hidden="false" customHeight="false" outlineLevel="0" collapsed="false">
      <c r="A6" s="4" t="s">
        <v>5</v>
      </c>
      <c r="B6" s="5"/>
    </row>
    <row r="7" customFormat="false" ht="15" hidden="false" customHeight="false" outlineLevel="0" collapsed="false">
      <c r="A7" s="4" t="s">
        <v>6</v>
      </c>
      <c r="B7" s="5" t="s">
        <v>7</v>
      </c>
    </row>
    <row r="8" customFormat="false" ht="23.85" hidden="false" customHeight="false" outlineLevel="0" collapsed="false">
      <c r="A8" s="4" t="s">
        <v>8</v>
      </c>
      <c r="B8" s="5" t="s">
        <v>9</v>
      </c>
    </row>
    <row r="9" customFormat="false" ht="15" hidden="false" customHeight="false" outlineLevel="0" collapsed="false">
      <c r="A9" s="4" t="s">
        <v>10</v>
      </c>
      <c r="B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</row>
    <row r="11" customFormat="false" ht="15" hidden="false" customHeight="false" outlineLevel="0" collapsed="false">
      <c r="A11" s="4" t="s">
        <v>14</v>
      </c>
      <c r="B11" s="5"/>
    </row>
    <row r="12" customFormat="false" ht="15" hidden="false" customHeight="false" outlineLevel="0" collapsed="false">
      <c r="A12" s="4" t="s">
        <v>15</v>
      </c>
      <c r="B12" s="5" t="s">
        <v>16</v>
      </c>
    </row>
    <row r="13" customFormat="false" ht="15" hidden="false" customHeight="false" outlineLevel="0" collapsed="false">
      <c r="A13" s="4" t="s">
        <v>17</v>
      </c>
      <c r="B13" s="5"/>
    </row>
    <row r="14" customFormat="false" ht="15" hidden="false" customHeight="false" outlineLevel="0" collapsed="false">
      <c r="A14" s="4" t="s">
        <v>18</v>
      </c>
      <c r="B14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9" min="6" style="0" width="11"/>
    <col collapsed="false" customWidth="true" hidden="false" outlineLevel="0" max="11" min="10" style="0" width="13"/>
    <col collapsed="false" customWidth="true" hidden="false" outlineLevel="0" max="13" min="12" style="0" width="11"/>
    <col collapsed="false" customWidth="true" hidden="false" outlineLevel="0" max="14" min="14" style="0" width="40"/>
  </cols>
  <sheetData>
    <row r="1" customFormat="false" ht="23.85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</row>
    <row r="2" customFormat="false" ht="15" hidden="false" customHeight="false" outlineLevel="0" collapsed="false">
      <c r="A2" s="7"/>
      <c r="B2" s="7"/>
      <c r="C2" s="7"/>
      <c r="D2" s="7" t="str">
        <f aca="false">IF(LEFT(C2,1)="D","downside",IF(LEFT(C2,1)="T","trap",""))</f>
        <v/>
      </c>
      <c r="E2" s="7"/>
      <c r="F2" s="7"/>
      <c r="G2" s="7"/>
      <c r="H2" s="7"/>
      <c r="I2" s="7"/>
      <c r="J2" s="7"/>
      <c r="K2" s="7"/>
      <c r="L2" s="7"/>
      <c r="M2" s="7"/>
      <c r="N2" s="8"/>
    </row>
    <row r="3" customFormat="false" ht="15" hidden="false" customHeight="false" outlineLevel="0" collapsed="false">
      <c r="A3" s="7"/>
      <c r="B3" s="7"/>
      <c r="C3" s="7"/>
      <c r="D3" s="7" t="str">
        <f aca="false">IF(LEFT(C3,1)="D","downside",IF(LEFT(C3,1)="T","trap",""))</f>
        <v/>
      </c>
      <c r="E3" s="7"/>
      <c r="F3" s="7"/>
      <c r="G3" s="7"/>
      <c r="H3" s="7"/>
      <c r="I3" s="7"/>
      <c r="J3" s="7"/>
      <c r="K3" s="7"/>
      <c r="L3" s="7"/>
      <c r="M3" s="7"/>
      <c r="N3" s="8"/>
    </row>
    <row r="4" customFormat="false" ht="15" hidden="false" customHeight="false" outlineLevel="0" collapsed="false">
      <c r="A4" s="7"/>
      <c r="B4" s="7"/>
      <c r="C4" s="7"/>
      <c r="D4" s="7" t="str">
        <f aca="false">IF(LEFT(C4,1)="D","downside",IF(LEFT(C4,1)="T","trap",""))</f>
        <v/>
      </c>
      <c r="E4" s="7"/>
      <c r="F4" s="7"/>
      <c r="G4" s="7"/>
      <c r="H4" s="7"/>
      <c r="I4" s="7"/>
      <c r="J4" s="7"/>
      <c r="K4" s="7"/>
      <c r="L4" s="7"/>
      <c r="M4" s="7"/>
      <c r="N4" s="8"/>
    </row>
    <row r="5" customFormat="false" ht="15" hidden="false" customHeight="false" outlineLevel="0" collapsed="false">
      <c r="A5" s="7"/>
      <c r="B5" s="7"/>
      <c r="C5" s="7"/>
      <c r="D5" s="7" t="str">
        <f aca="false">IF(LEFT(C5,1)="D","downside",IF(LEFT(C5,1)="T","trap",""))</f>
        <v/>
      </c>
      <c r="E5" s="7"/>
      <c r="F5" s="7"/>
      <c r="G5" s="7"/>
      <c r="H5" s="7"/>
      <c r="I5" s="7"/>
      <c r="J5" s="7"/>
      <c r="K5" s="7"/>
      <c r="L5" s="7"/>
      <c r="M5" s="7"/>
      <c r="N5" s="8"/>
    </row>
    <row r="6" customFormat="false" ht="15" hidden="false" customHeight="false" outlineLevel="0" collapsed="false">
      <c r="A6" s="7"/>
      <c r="B6" s="7"/>
      <c r="C6" s="7"/>
      <c r="D6" s="7" t="str">
        <f aca="false">IF(LEFT(C6,1)="D","downside",IF(LEFT(C6,1)="T","trap",""))</f>
        <v/>
      </c>
      <c r="E6" s="7"/>
      <c r="F6" s="7"/>
      <c r="G6" s="7"/>
      <c r="H6" s="7"/>
      <c r="I6" s="7"/>
      <c r="J6" s="7"/>
      <c r="K6" s="7"/>
      <c r="L6" s="7"/>
      <c r="M6" s="7"/>
      <c r="N6" s="8"/>
    </row>
    <row r="7" customFormat="false" ht="15" hidden="false" customHeight="false" outlineLevel="0" collapsed="false">
      <c r="A7" s="7"/>
      <c r="B7" s="7"/>
      <c r="C7" s="7"/>
      <c r="D7" s="7" t="str">
        <f aca="false">IF(LEFT(C7,1)="D","downside",IF(LEFT(C7,1)="T","trap",""))</f>
        <v/>
      </c>
      <c r="E7" s="7"/>
      <c r="F7" s="7"/>
      <c r="G7" s="7"/>
      <c r="H7" s="7"/>
      <c r="I7" s="7"/>
      <c r="J7" s="7"/>
      <c r="K7" s="7"/>
      <c r="L7" s="7"/>
      <c r="M7" s="7"/>
      <c r="N7" s="8"/>
    </row>
    <row r="8" customFormat="false" ht="15" hidden="false" customHeight="false" outlineLevel="0" collapsed="false">
      <c r="A8" s="7"/>
      <c r="B8" s="7"/>
      <c r="C8" s="7"/>
      <c r="D8" s="7" t="str">
        <f aca="false">IF(LEFT(C8,1)="D","downside",IF(LEFT(C8,1)="T","trap",""))</f>
        <v/>
      </c>
      <c r="E8" s="7"/>
      <c r="F8" s="7"/>
      <c r="G8" s="7"/>
      <c r="H8" s="7"/>
      <c r="I8" s="7"/>
      <c r="J8" s="7"/>
      <c r="K8" s="7"/>
      <c r="L8" s="7"/>
      <c r="M8" s="7"/>
      <c r="N8" s="8"/>
    </row>
    <row r="9" customFormat="false" ht="15" hidden="false" customHeight="false" outlineLevel="0" collapsed="false">
      <c r="A9" s="7"/>
      <c r="B9" s="7"/>
      <c r="C9" s="7"/>
      <c r="D9" s="7" t="str">
        <f aca="false">IF(LEFT(C9,1)="D","downside",IF(LEFT(C9,1)="T","trap",""))</f>
        <v/>
      </c>
      <c r="E9" s="7"/>
      <c r="F9" s="7"/>
      <c r="G9" s="7"/>
      <c r="H9" s="7"/>
      <c r="I9" s="7"/>
      <c r="J9" s="7"/>
      <c r="K9" s="7"/>
      <c r="L9" s="7"/>
      <c r="M9" s="7"/>
      <c r="N9" s="8"/>
    </row>
    <row r="10" customFormat="false" ht="15" hidden="false" customHeight="false" outlineLevel="0" collapsed="false">
      <c r="A10" s="7"/>
      <c r="B10" s="7"/>
      <c r="C10" s="7"/>
      <c r="D10" s="7" t="str">
        <f aca="false">IF(LEFT(C10,1)="D","downside",IF(LEFT(C10,1)="T","trap",""))</f>
        <v/>
      </c>
      <c r="E10" s="7"/>
      <c r="F10" s="7"/>
      <c r="G10" s="7"/>
      <c r="H10" s="7"/>
      <c r="I10" s="7"/>
      <c r="J10" s="7"/>
      <c r="K10" s="7"/>
      <c r="L10" s="7"/>
      <c r="M10" s="7"/>
      <c r="N10" s="8"/>
    </row>
    <row r="11" customFormat="false" ht="15" hidden="false" customHeight="false" outlineLevel="0" collapsed="false">
      <c r="A11" s="7"/>
      <c r="B11" s="7"/>
      <c r="C11" s="7"/>
      <c r="D11" s="7" t="str">
        <f aca="false">IF(LEFT(C11,1)="D","downside",IF(LEFT(C11,1)="T","trap",""))</f>
        <v/>
      </c>
      <c r="E11" s="7"/>
      <c r="F11" s="7"/>
      <c r="G11" s="7"/>
      <c r="H11" s="7"/>
      <c r="I11" s="7"/>
      <c r="J11" s="7"/>
      <c r="K11" s="7"/>
      <c r="L11" s="7"/>
      <c r="M11" s="7"/>
      <c r="N11" s="8"/>
    </row>
    <row r="12" customFormat="false" ht="15" hidden="false" customHeight="false" outlineLevel="0" collapsed="false">
      <c r="A12" s="7"/>
      <c r="B12" s="7"/>
      <c r="C12" s="7"/>
      <c r="D12" s="7" t="str">
        <f aca="false">IF(LEFT(C12,1)="D","downside",IF(LEFT(C12,1)="T","trap",""))</f>
        <v/>
      </c>
      <c r="E12" s="7"/>
      <c r="F12" s="7"/>
      <c r="G12" s="7"/>
      <c r="H12" s="7"/>
      <c r="I12" s="7"/>
      <c r="J12" s="7"/>
      <c r="K12" s="7"/>
      <c r="L12" s="7"/>
      <c r="M12" s="7"/>
      <c r="N12" s="8"/>
    </row>
    <row r="13" customFormat="false" ht="15" hidden="false" customHeight="false" outlineLevel="0" collapsed="false">
      <c r="A13" s="7"/>
      <c r="B13" s="7"/>
      <c r="C13" s="7"/>
      <c r="D13" s="7" t="str">
        <f aca="false">IF(LEFT(C13,1)="D","downside",IF(LEFT(C13,1)="T","trap",""))</f>
        <v/>
      </c>
      <c r="E13" s="7"/>
      <c r="F13" s="7"/>
      <c r="G13" s="7"/>
      <c r="H13" s="7"/>
      <c r="I13" s="7"/>
      <c r="J13" s="7"/>
      <c r="K13" s="7"/>
      <c r="L13" s="7"/>
      <c r="M13" s="7"/>
      <c r="N13" s="8"/>
    </row>
    <row r="14" customFormat="false" ht="15" hidden="false" customHeight="false" outlineLevel="0" collapsed="false">
      <c r="A14" s="7"/>
      <c r="B14" s="7"/>
      <c r="C14" s="7"/>
      <c r="D14" s="7" t="str">
        <f aca="false">IF(LEFT(C14,1)="D","downside",IF(LEFT(C14,1)="T","trap",""))</f>
        <v/>
      </c>
      <c r="E14" s="7"/>
      <c r="F14" s="7"/>
      <c r="G14" s="7"/>
      <c r="H14" s="7"/>
      <c r="I14" s="7"/>
      <c r="J14" s="7"/>
      <c r="K14" s="7"/>
      <c r="L14" s="7"/>
      <c r="M14" s="7"/>
      <c r="N14" s="8"/>
    </row>
    <row r="15" customFormat="false" ht="15" hidden="false" customHeight="false" outlineLevel="0" collapsed="false">
      <c r="A15" s="7"/>
      <c r="B15" s="7"/>
      <c r="C15" s="7"/>
      <c r="D15" s="7" t="str">
        <f aca="false">IF(LEFT(C15,1)="D","downside",IF(LEFT(C15,1)="T","trap",""))</f>
        <v/>
      </c>
      <c r="E15" s="7"/>
      <c r="F15" s="7"/>
      <c r="G15" s="7"/>
      <c r="H15" s="7"/>
      <c r="I15" s="7"/>
      <c r="J15" s="7"/>
      <c r="K15" s="7"/>
      <c r="L15" s="7"/>
      <c r="M15" s="7"/>
      <c r="N15" s="8"/>
    </row>
    <row r="16" customFormat="false" ht="15" hidden="false" customHeight="false" outlineLevel="0" collapsed="false">
      <c r="A16" s="7"/>
      <c r="B16" s="7"/>
      <c r="C16" s="7"/>
      <c r="D16" s="7" t="str">
        <f aca="false">IF(LEFT(C16,1)="D","downside",IF(LEFT(C16,1)="T","trap",""))</f>
        <v/>
      </c>
      <c r="E16" s="7"/>
      <c r="F16" s="7"/>
      <c r="G16" s="7"/>
      <c r="H16" s="7"/>
      <c r="I16" s="7"/>
      <c r="J16" s="7"/>
      <c r="K16" s="7"/>
      <c r="L16" s="7"/>
      <c r="M16" s="7"/>
      <c r="N16" s="8"/>
    </row>
    <row r="17" customFormat="false" ht="15" hidden="false" customHeight="false" outlineLevel="0" collapsed="false">
      <c r="A17" s="7"/>
      <c r="B17" s="7"/>
      <c r="C17" s="7"/>
      <c r="D17" s="7" t="str">
        <f aca="false">IF(LEFT(C17,1)="D","downside",IF(LEFT(C17,1)="T","trap",""))</f>
        <v/>
      </c>
      <c r="E17" s="7"/>
      <c r="F17" s="7"/>
      <c r="G17" s="7"/>
      <c r="H17" s="7"/>
      <c r="I17" s="7"/>
      <c r="J17" s="7"/>
      <c r="K17" s="7"/>
      <c r="L17" s="7"/>
      <c r="M17" s="7"/>
      <c r="N17" s="8"/>
    </row>
    <row r="18" customFormat="false" ht="15" hidden="false" customHeight="false" outlineLevel="0" collapsed="false">
      <c r="A18" s="7"/>
      <c r="B18" s="7"/>
      <c r="C18" s="7"/>
      <c r="D18" s="7" t="str">
        <f aca="false">IF(LEFT(C18,1)="D","downside",IF(LEFT(C18,1)="T","trap",""))</f>
        <v/>
      </c>
      <c r="E18" s="7"/>
      <c r="F18" s="7"/>
      <c r="G18" s="7"/>
      <c r="H18" s="7"/>
      <c r="I18" s="7"/>
      <c r="J18" s="7"/>
      <c r="K18" s="7"/>
      <c r="L18" s="7"/>
      <c r="M18" s="7"/>
      <c r="N18" s="8"/>
    </row>
    <row r="19" customFormat="false" ht="15" hidden="false" customHeight="false" outlineLevel="0" collapsed="false">
      <c r="A19" s="7"/>
      <c r="B19" s="7"/>
      <c r="C19" s="7"/>
      <c r="D19" s="7" t="str">
        <f aca="false">IF(LEFT(C19,1)="D","downside",IF(LEFT(C19,1)="T","trap",""))</f>
        <v/>
      </c>
      <c r="E19" s="7"/>
      <c r="F19" s="7"/>
      <c r="G19" s="7"/>
      <c r="H19" s="7"/>
      <c r="I19" s="7"/>
      <c r="J19" s="7"/>
      <c r="K19" s="7"/>
      <c r="L19" s="7"/>
      <c r="M19" s="7"/>
      <c r="N19" s="8"/>
    </row>
    <row r="20" customFormat="false" ht="15" hidden="false" customHeight="false" outlineLevel="0" collapsed="false">
      <c r="A20" s="7"/>
      <c r="B20" s="7"/>
      <c r="C20" s="7"/>
      <c r="D20" s="7" t="str">
        <f aca="false">IF(LEFT(C20,1)="D","downside",IF(LEFT(C20,1)="T","trap",""))</f>
        <v/>
      </c>
      <c r="E20" s="7"/>
      <c r="F20" s="7"/>
      <c r="G20" s="7"/>
      <c r="H20" s="7"/>
      <c r="I20" s="7"/>
      <c r="J20" s="7"/>
      <c r="K20" s="7"/>
      <c r="L20" s="7"/>
      <c r="M20" s="7"/>
      <c r="N20" s="8"/>
    </row>
    <row r="21" customFormat="false" ht="15" hidden="false" customHeight="false" outlineLevel="0" collapsed="false">
      <c r="A21" s="7"/>
      <c r="B21" s="7"/>
      <c r="C21" s="7"/>
      <c r="D21" s="7" t="str">
        <f aca="false">IF(LEFT(C21,1)="D","downside",IF(LEFT(C21,1)="T","trap",""))</f>
        <v/>
      </c>
      <c r="E21" s="7"/>
      <c r="F21" s="7"/>
      <c r="G21" s="7"/>
      <c r="H21" s="7"/>
      <c r="I21" s="7"/>
      <c r="J21" s="7"/>
      <c r="K21" s="7"/>
      <c r="L21" s="7"/>
      <c r="M21" s="7"/>
      <c r="N21" s="8"/>
    </row>
    <row r="22" customFormat="false" ht="15" hidden="false" customHeight="false" outlineLevel="0" collapsed="false">
      <c r="A22" s="7"/>
      <c r="B22" s="7"/>
      <c r="C22" s="7"/>
      <c r="D22" s="7" t="str">
        <f aca="false">IF(LEFT(C22,1)="D","downside",IF(LEFT(C22,1)="T","trap",""))</f>
        <v/>
      </c>
      <c r="E22" s="7"/>
      <c r="F22" s="7"/>
      <c r="G22" s="7"/>
      <c r="H22" s="7"/>
      <c r="I22" s="7"/>
      <c r="J22" s="7"/>
      <c r="K22" s="7"/>
      <c r="L22" s="7"/>
      <c r="M22" s="7"/>
      <c r="N22" s="8"/>
    </row>
    <row r="23" customFormat="false" ht="15" hidden="false" customHeight="false" outlineLevel="0" collapsed="false">
      <c r="A23" s="7"/>
      <c r="B23" s="7"/>
      <c r="C23" s="7"/>
      <c r="D23" s="7" t="str">
        <f aca="false">IF(LEFT(C23,1)="D","downside",IF(LEFT(C23,1)="T","trap",""))</f>
        <v/>
      </c>
      <c r="E23" s="7"/>
      <c r="F23" s="7"/>
      <c r="G23" s="7"/>
      <c r="H23" s="7"/>
      <c r="I23" s="7"/>
      <c r="J23" s="7"/>
      <c r="K23" s="7"/>
      <c r="L23" s="7"/>
      <c r="M23" s="7"/>
      <c r="N23" s="8"/>
    </row>
    <row r="24" customFormat="false" ht="15" hidden="false" customHeight="false" outlineLevel="0" collapsed="false">
      <c r="A24" s="7"/>
      <c r="B24" s="7"/>
      <c r="C24" s="7"/>
      <c r="D24" s="7" t="str">
        <f aca="false">IF(LEFT(C24,1)="D","downside",IF(LEFT(C24,1)="T","trap",""))</f>
        <v/>
      </c>
      <c r="E24" s="7"/>
      <c r="F24" s="7"/>
      <c r="G24" s="7"/>
      <c r="H24" s="7"/>
      <c r="I24" s="7"/>
      <c r="J24" s="7"/>
      <c r="K24" s="7"/>
      <c r="L24" s="7"/>
      <c r="M24" s="7"/>
      <c r="N24" s="8"/>
    </row>
    <row r="25" customFormat="false" ht="15" hidden="false" customHeight="false" outlineLevel="0" collapsed="false">
      <c r="A25" s="7"/>
      <c r="B25" s="7"/>
      <c r="C25" s="7"/>
      <c r="D25" s="7" t="str">
        <f aca="false">IF(LEFT(C25,1)="D","downside",IF(LEFT(C25,1)="T","trap",""))</f>
        <v/>
      </c>
      <c r="E25" s="7"/>
      <c r="F25" s="7"/>
      <c r="G25" s="7"/>
      <c r="H25" s="7"/>
      <c r="I25" s="7"/>
      <c r="J25" s="7"/>
      <c r="K25" s="7"/>
      <c r="L25" s="7"/>
      <c r="M25" s="7"/>
      <c r="N25" s="8"/>
    </row>
    <row r="26" customFormat="false" ht="15" hidden="false" customHeight="false" outlineLevel="0" collapsed="false">
      <c r="A26" s="7"/>
      <c r="B26" s="7"/>
      <c r="C26" s="7"/>
      <c r="D26" s="7" t="str">
        <f aca="false">IF(LEFT(C26,1)="D","downside",IF(LEFT(C26,1)="T","trap",""))</f>
        <v/>
      </c>
      <c r="E26" s="7"/>
      <c r="F26" s="7"/>
      <c r="G26" s="7"/>
      <c r="H26" s="7"/>
      <c r="I26" s="7"/>
      <c r="J26" s="7"/>
      <c r="K26" s="7"/>
      <c r="L26" s="7"/>
      <c r="M26" s="7"/>
      <c r="N26" s="8"/>
    </row>
    <row r="27" customFormat="false" ht="15" hidden="false" customHeight="false" outlineLevel="0" collapsed="false">
      <c r="A27" s="7"/>
      <c r="B27" s="7"/>
      <c r="C27" s="7"/>
      <c r="D27" s="7" t="str">
        <f aca="false">IF(LEFT(C27,1)="D","downside",IF(LEFT(C27,1)="T","trap",""))</f>
        <v/>
      </c>
      <c r="E27" s="7"/>
      <c r="F27" s="7"/>
      <c r="G27" s="7"/>
      <c r="H27" s="7"/>
      <c r="I27" s="7"/>
      <c r="J27" s="7"/>
      <c r="K27" s="7"/>
      <c r="L27" s="7"/>
      <c r="M27" s="7"/>
      <c r="N27" s="8"/>
    </row>
    <row r="28" customFormat="false" ht="15" hidden="false" customHeight="false" outlineLevel="0" collapsed="false">
      <c r="A28" s="7"/>
      <c r="B28" s="7"/>
      <c r="C28" s="7"/>
      <c r="D28" s="7" t="str">
        <f aca="false">IF(LEFT(C28,1)="D","downside",IF(LEFT(C28,1)="T","trap",""))</f>
        <v/>
      </c>
      <c r="E28" s="7"/>
      <c r="F28" s="7"/>
      <c r="G28" s="7"/>
      <c r="H28" s="7"/>
      <c r="I28" s="7"/>
      <c r="J28" s="7"/>
      <c r="K28" s="7"/>
      <c r="L28" s="7"/>
      <c r="M28" s="7"/>
      <c r="N28" s="8"/>
    </row>
    <row r="29" customFormat="false" ht="15" hidden="false" customHeight="false" outlineLevel="0" collapsed="false">
      <c r="A29" s="7"/>
      <c r="B29" s="7"/>
      <c r="C29" s="7"/>
      <c r="D29" s="7" t="str">
        <f aca="false">IF(LEFT(C29,1)="D","downside",IF(LEFT(C29,1)="T","trap",""))</f>
        <v/>
      </c>
      <c r="E29" s="7"/>
      <c r="F29" s="7"/>
      <c r="G29" s="7"/>
      <c r="H29" s="7"/>
      <c r="I29" s="7"/>
      <c r="J29" s="7"/>
      <c r="K29" s="7"/>
      <c r="L29" s="7"/>
      <c r="M29" s="7"/>
      <c r="N29" s="8"/>
    </row>
    <row r="30" customFormat="false" ht="15" hidden="false" customHeight="false" outlineLevel="0" collapsed="false">
      <c r="A30" s="7"/>
      <c r="B30" s="7"/>
      <c r="C30" s="7"/>
      <c r="D30" s="7" t="str">
        <f aca="false">IF(LEFT(C30,1)="D","downside",IF(LEFT(C30,1)="T","trap",""))</f>
        <v/>
      </c>
      <c r="E30" s="7"/>
      <c r="F30" s="7"/>
      <c r="G30" s="7"/>
      <c r="H30" s="7"/>
      <c r="I30" s="7"/>
      <c r="J30" s="7"/>
      <c r="K30" s="7"/>
      <c r="L30" s="7"/>
      <c r="M30" s="7"/>
      <c r="N30" s="8"/>
    </row>
    <row r="31" customFormat="false" ht="15" hidden="false" customHeight="false" outlineLevel="0" collapsed="false">
      <c r="A31" s="7"/>
      <c r="B31" s="7"/>
      <c r="C31" s="7"/>
      <c r="D31" s="7" t="str">
        <f aca="false">IF(LEFT(C31,1)="D","downside",IF(LEFT(C31,1)="T","trap",""))</f>
        <v/>
      </c>
      <c r="E31" s="7"/>
      <c r="F31" s="7"/>
      <c r="G31" s="7"/>
      <c r="H31" s="7"/>
      <c r="I31" s="7"/>
      <c r="J31" s="7"/>
      <c r="K31" s="7"/>
      <c r="L31" s="7"/>
      <c r="M31" s="7"/>
      <c r="N31" s="8"/>
    </row>
    <row r="32" customFormat="false" ht="15" hidden="false" customHeight="false" outlineLevel="0" collapsed="false">
      <c r="A32" s="7"/>
      <c r="B32" s="7"/>
      <c r="C32" s="7"/>
      <c r="D32" s="7" t="str">
        <f aca="false">IF(LEFT(C32,1)="D","downside",IF(LEFT(C32,1)="T","trap",""))</f>
        <v/>
      </c>
      <c r="E32" s="7"/>
      <c r="F32" s="7"/>
      <c r="G32" s="7"/>
      <c r="H32" s="7"/>
      <c r="I32" s="7"/>
      <c r="J32" s="7"/>
      <c r="K32" s="7"/>
      <c r="L32" s="7"/>
      <c r="M32" s="7"/>
      <c r="N32" s="8"/>
    </row>
    <row r="33" customFormat="false" ht="15" hidden="false" customHeight="false" outlineLevel="0" collapsed="false">
      <c r="A33" s="7"/>
      <c r="B33" s="7"/>
      <c r="C33" s="7"/>
      <c r="D33" s="7" t="str">
        <f aca="false">IF(LEFT(C33,1)="D","downside",IF(LEFT(C33,1)="T","trap",""))</f>
        <v/>
      </c>
      <c r="E33" s="7"/>
      <c r="F33" s="7"/>
      <c r="G33" s="7"/>
      <c r="H33" s="7"/>
      <c r="I33" s="7"/>
      <c r="J33" s="7"/>
      <c r="K33" s="7"/>
      <c r="L33" s="7"/>
      <c r="M33" s="7"/>
      <c r="N33" s="8"/>
    </row>
    <row r="34" customFormat="false" ht="15" hidden="false" customHeight="false" outlineLevel="0" collapsed="false">
      <c r="A34" s="7"/>
      <c r="B34" s="7"/>
      <c r="C34" s="7"/>
      <c r="D34" s="7" t="str">
        <f aca="false">IF(LEFT(C34,1)="D","downside",IF(LEFT(C34,1)="T","trap",""))</f>
        <v/>
      </c>
      <c r="E34" s="7"/>
      <c r="F34" s="7"/>
      <c r="G34" s="7"/>
      <c r="H34" s="7"/>
      <c r="I34" s="7"/>
      <c r="J34" s="7"/>
      <c r="K34" s="7"/>
      <c r="L34" s="7"/>
      <c r="M34" s="7"/>
      <c r="N34" s="8"/>
    </row>
    <row r="35" customFormat="false" ht="15" hidden="false" customHeight="false" outlineLevel="0" collapsed="false">
      <c r="A35" s="7"/>
      <c r="B35" s="7"/>
      <c r="C35" s="7"/>
      <c r="D35" s="7" t="str">
        <f aca="false">IF(LEFT(C35,1)="D","downside",IF(LEFT(C35,1)="T","trap",""))</f>
        <v/>
      </c>
      <c r="E35" s="7"/>
      <c r="F35" s="7"/>
      <c r="G35" s="7"/>
      <c r="H35" s="7"/>
      <c r="I35" s="7"/>
      <c r="J35" s="7"/>
      <c r="K35" s="7"/>
      <c r="L35" s="7"/>
      <c r="M35" s="7"/>
      <c r="N35" s="8"/>
    </row>
    <row r="36" customFormat="false" ht="15" hidden="false" customHeight="false" outlineLevel="0" collapsed="false">
      <c r="A36" s="7"/>
      <c r="B36" s="7"/>
      <c r="C36" s="7"/>
      <c r="D36" s="7" t="str">
        <f aca="false">IF(LEFT(C36,1)="D","downside",IF(LEFT(C36,1)="T","trap",""))</f>
        <v/>
      </c>
      <c r="E36" s="7"/>
      <c r="F36" s="7"/>
      <c r="G36" s="7"/>
      <c r="H36" s="7"/>
      <c r="I36" s="7"/>
      <c r="J36" s="7"/>
      <c r="K36" s="7"/>
      <c r="L36" s="7"/>
      <c r="M36" s="7"/>
      <c r="N36" s="8"/>
    </row>
    <row r="37" customFormat="false" ht="15" hidden="false" customHeight="false" outlineLevel="0" collapsed="false">
      <c r="A37" s="7"/>
      <c r="B37" s="7"/>
      <c r="C37" s="7"/>
      <c r="D37" s="7" t="str">
        <f aca="false">IF(LEFT(C37,1)="D","downside",IF(LEFT(C37,1)="T","trap",""))</f>
        <v/>
      </c>
      <c r="E37" s="7"/>
      <c r="F37" s="7"/>
      <c r="G37" s="7"/>
      <c r="H37" s="7"/>
      <c r="I37" s="7"/>
      <c r="J37" s="7"/>
      <c r="K37" s="7"/>
      <c r="L37" s="7"/>
      <c r="M37" s="7"/>
      <c r="N37" s="8"/>
    </row>
    <row r="38" customFormat="false" ht="15" hidden="false" customHeight="false" outlineLevel="0" collapsed="false">
      <c r="A38" s="7"/>
      <c r="B38" s="7"/>
      <c r="C38" s="7"/>
      <c r="D38" s="7" t="str">
        <f aca="false">IF(LEFT(C38,1)="D","downside",IF(LEFT(C38,1)="T","trap",""))</f>
        <v/>
      </c>
      <c r="E38" s="7"/>
      <c r="F38" s="7"/>
      <c r="G38" s="7"/>
      <c r="H38" s="7"/>
      <c r="I38" s="7"/>
      <c r="J38" s="7"/>
      <c r="K38" s="7"/>
      <c r="L38" s="7"/>
      <c r="M38" s="7"/>
      <c r="N38" s="8"/>
    </row>
    <row r="39" customFormat="false" ht="15" hidden="false" customHeight="false" outlineLevel="0" collapsed="false">
      <c r="A39" s="7"/>
      <c r="B39" s="7"/>
      <c r="C39" s="7"/>
      <c r="D39" s="7" t="str">
        <f aca="false">IF(LEFT(C39,1)="D","downside",IF(LEFT(C39,1)="T","trap",""))</f>
        <v/>
      </c>
      <c r="E39" s="7"/>
      <c r="F39" s="7"/>
      <c r="G39" s="7"/>
      <c r="H39" s="7"/>
      <c r="I39" s="7"/>
      <c r="J39" s="7"/>
      <c r="K39" s="7"/>
      <c r="L39" s="7"/>
      <c r="M39" s="7"/>
      <c r="N39" s="8"/>
    </row>
    <row r="40" customFormat="false" ht="15" hidden="false" customHeight="false" outlineLevel="0" collapsed="false">
      <c r="A40" s="7"/>
      <c r="B40" s="7"/>
      <c r="C40" s="7"/>
      <c r="D40" s="7" t="str">
        <f aca="false">IF(LEFT(C40,1)="D","downside",IF(LEFT(C40,1)="T","trap",""))</f>
        <v/>
      </c>
      <c r="E40" s="7"/>
      <c r="F40" s="7"/>
      <c r="G40" s="7"/>
      <c r="H40" s="7"/>
      <c r="I40" s="7"/>
      <c r="J40" s="7"/>
      <c r="K40" s="7"/>
      <c r="L40" s="7"/>
      <c r="M40" s="7"/>
      <c r="N40" s="8"/>
    </row>
    <row r="41" customFormat="false" ht="15" hidden="false" customHeight="false" outlineLevel="0" collapsed="false">
      <c r="A41" s="7"/>
      <c r="B41" s="7"/>
      <c r="C41" s="7"/>
      <c r="D41" s="7" t="str">
        <f aca="false">IF(LEFT(C41,1)="D","downside",IF(LEFT(C41,1)="T","trap",""))</f>
        <v/>
      </c>
      <c r="E41" s="7"/>
      <c r="F41" s="7"/>
      <c r="G41" s="7"/>
      <c r="H41" s="7"/>
      <c r="I41" s="7"/>
      <c r="J41" s="7"/>
      <c r="K41" s="7"/>
      <c r="L41" s="7"/>
      <c r="M41" s="7"/>
      <c r="N41" s="8"/>
    </row>
    <row r="42" customFormat="false" ht="15" hidden="false" customHeight="false" outlineLevel="0" collapsed="false">
      <c r="A42" s="7"/>
      <c r="B42" s="7"/>
      <c r="C42" s="7"/>
      <c r="D42" s="7" t="str">
        <f aca="false">IF(LEFT(C42,1)="D","downside",IF(LEFT(C42,1)="T","trap",""))</f>
        <v/>
      </c>
      <c r="E42" s="7"/>
      <c r="F42" s="7"/>
      <c r="G42" s="7"/>
      <c r="H42" s="7"/>
      <c r="I42" s="7"/>
      <c r="J42" s="7"/>
      <c r="K42" s="7"/>
      <c r="L42" s="7"/>
      <c r="M42" s="7"/>
      <c r="N42" s="8"/>
    </row>
    <row r="43" customFormat="false" ht="15" hidden="false" customHeight="false" outlineLevel="0" collapsed="false">
      <c r="A43" s="7"/>
      <c r="B43" s="7"/>
      <c r="C43" s="7"/>
      <c r="D43" s="7" t="str">
        <f aca="false">IF(LEFT(C43,1)="D","downside",IF(LEFT(C43,1)="T","trap",""))</f>
        <v/>
      </c>
      <c r="E43" s="7"/>
      <c r="F43" s="7"/>
      <c r="G43" s="7"/>
      <c r="H43" s="7"/>
      <c r="I43" s="7"/>
      <c r="J43" s="7"/>
      <c r="K43" s="7"/>
      <c r="L43" s="7"/>
      <c r="M43" s="7"/>
      <c r="N43" s="8"/>
    </row>
    <row r="44" customFormat="false" ht="15" hidden="false" customHeight="false" outlineLevel="0" collapsed="false">
      <c r="A44" s="7"/>
      <c r="B44" s="7"/>
      <c r="C44" s="7"/>
      <c r="D44" s="7" t="str">
        <f aca="false">IF(LEFT(C44,1)="D","downside",IF(LEFT(C44,1)="T","trap",""))</f>
        <v/>
      </c>
      <c r="E44" s="7"/>
      <c r="F44" s="7"/>
      <c r="G44" s="7"/>
      <c r="H44" s="7"/>
      <c r="I44" s="7"/>
      <c r="J44" s="7"/>
      <c r="K44" s="7"/>
      <c r="L44" s="7"/>
      <c r="M44" s="7"/>
      <c r="N44" s="8"/>
    </row>
    <row r="45" customFormat="false" ht="15" hidden="false" customHeight="false" outlineLevel="0" collapsed="false">
      <c r="A45" s="7"/>
      <c r="B45" s="7"/>
      <c r="C45" s="7"/>
      <c r="D45" s="7" t="str">
        <f aca="false">IF(LEFT(C45,1)="D","downside",IF(LEFT(C45,1)="T","trap",""))</f>
        <v/>
      </c>
      <c r="E45" s="7"/>
      <c r="F45" s="7"/>
      <c r="G45" s="7"/>
      <c r="H45" s="7"/>
      <c r="I45" s="7"/>
      <c r="J45" s="7"/>
      <c r="K45" s="7"/>
      <c r="L45" s="7"/>
      <c r="M45" s="7"/>
      <c r="N45" s="8"/>
    </row>
    <row r="46" customFormat="false" ht="15" hidden="false" customHeight="false" outlineLevel="0" collapsed="false">
      <c r="A46" s="7"/>
      <c r="B46" s="7"/>
      <c r="C46" s="7"/>
      <c r="D46" s="7" t="str">
        <f aca="false">IF(LEFT(C46,1)="D","downside",IF(LEFT(C46,1)="T","trap",""))</f>
        <v/>
      </c>
      <c r="E46" s="7"/>
      <c r="F46" s="7"/>
      <c r="G46" s="7"/>
      <c r="H46" s="7"/>
      <c r="I46" s="7"/>
      <c r="J46" s="7"/>
      <c r="K46" s="7"/>
      <c r="L46" s="7"/>
      <c r="M46" s="7"/>
      <c r="N46" s="8"/>
    </row>
    <row r="47" customFormat="false" ht="15" hidden="false" customHeight="false" outlineLevel="0" collapsed="false">
      <c r="A47" s="7"/>
      <c r="B47" s="7"/>
      <c r="C47" s="7"/>
      <c r="D47" s="7" t="str">
        <f aca="false">IF(LEFT(C47,1)="D","downside",IF(LEFT(C47,1)="T","trap",""))</f>
        <v/>
      </c>
      <c r="E47" s="7"/>
      <c r="F47" s="7"/>
      <c r="G47" s="7"/>
      <c r="H47" s="7"/>
      <c r="I47" s="7"/>
      <c r="J47" s="7"/>
      <c r="K47" s="7"/>
      <c r="L47" s="7"/>
      <c r="M47" s="7"/>
      <c r="N47" s="8"/>
    </row>
    <row r="48" customFormat="false" ht="15" hidden="false" customHeight="false" outlineLevel="0" collapsed="false">
      <c r="A48" s="7"/>
      <c r="B48" s="7"/>
      <c r="C48" s="7"/>
      <c r="D48" s="7" t="str">
        <f aca="false">IF(LEFT(C48,1)="D","downside",IF(LEFT(C48,1)="T","trap",""))</f>
        <v/>
      </c>
      <c r="E48" s="7"/>
      <c r="F48" s="7"/>
      <c r="G48" s="7"/>
      <c r="H48" s="7"/>
      <c r="I48" s="7"/>
      <c r="J48" s="7"/>
      <c r="K48" s="7"/>
      <c r="L48" s="7"/>
      <c r="M48" s="7"/>
      <c r="N48" s="8"/>
    </row>
    <row r="49" customFormat="false" ht="15" hidden="false" customHeight="false" outlineLevel="0" collapsed="false">
      <c r="A49" s="7"/>
      <c r="B49" s="7"/>
      <c r="C49" s="7"/>
      <c r="D49" s="7" t="str">
        <f aca="false">IF(LEFT(C49,1)="D","downside",IF(LEFT(C49,1)="T","trap",""))</f>
        <v/>
      </c>
      <c r="E49" s="7"/>
      <c r="F49" s="7"/>
      <c r="G49" s="7"/>
      <c r="H49" s="7"/>
      <c r="I49" s="7"/>
      <c r="J49" s="7"/>
      <c r="K49" s="7"/>
      <c r="L49" s="7"/>
      <c r="M49" s="7"/>
      <c r="N49" s="8"/>
    </row>
    <row r="50" customFormat="false" ht="15" hidden="false" customHeight="false" outlineLevel="0" collapsed="false">
      <c r="A50" s="7"/>
      <c r="B50" s="7"/>
      <c r="C50" s="7"/>
      <c r="D50" s="7" t="str">
        <f aca="false">IF(LEFT(C50,1)="D","downside",IF(LEFT(C50,1)="T","trap",""))</f>
        <v/>
      </c>
      <c r="E50" s="7"/>
      <c r="F50" s="7"/>
      <c r="G50" s="7"/>
      <c r="H50" s="7"/>
      <c r="I50" s="7"/>
      <c r="J50" s="7"/>
      <c r="K50" s="7"/>
      <c r="L50" s="7"/>
      <c r="M50" s="7"/>
      <c r="N50" s="8"/>
    </row>
    <row r="51" customFormat="false" ht="15" hidden="false" customHeight="false" outlineLevel="0" collapsed="false">
      <c r="A51" s="7"/>
      <c r="B51" s="7"/>
      <c r="C51" s="7"/>
      <c r="D51" s="7" t="str">
        <f aca="false">IF(LEFT(C51,1)="D","downside",IF(LEFT(C51,1)="T","trap",""))</f>
        <v/>
      </c>
      <c r="E51" s="7"/>
      <c r="F51" s="7"/>
      <c r="G51" s="7"/>
      <c r="H51" s="7"/>
      <c r="I51" s="7"/>
      <c r="J51" s="7"/>
      <c r="K51" s="7"/>
      <c r="L51" s="7"/>
      <c r="M51" s="7"/>
      <c r="N51" s="8"/>
    </row>
    <row r="52" customFormat="false" ht="15" hidden="false" customHeight="false" outlineLevel="0" collapsed="false">
      <c r="A52" s="7"/>
      <c r="B52" s="7"/>
      <c r="C52" s="7"/>
      <c r="D52" s="7" t="str">
        <f aca="false">IF(LEFT(C52,1)="D","downside",IF(LEFT(C52,1)="T","trap",""))</f>
        <v/>
      </c>
      <c r="E52" s="7"/>
      <c r="F52" s="7"/>
      <c r="G52" s="7"/>
      <c r="H52" s="7"/>
      <c r="I52" s="7"/>
      <c r="J52" s="7"/>
      <c r="K52" s="7"/>
      <c r="L52" s="7"/>
      <c r="M52" s="7"/>
      <c r="N52" s="8"/>
    </row>
    <row r="53" customFormat="false" ht="15" hidden="false" customHeight="false" outlineLevel="0" collapsed="false">
      <c r="A53" s="7"/>
      <c r="B53" s="7"/>
      <c r="C53" s="7"/>
      <c r="D53" s="7" t="str">
        <f aca="false">IF(LEFT(C53,1)="D","downside",IF(LEFT(C53,1)="T","trap",""))</f>
        <v/>
      </c>
      <c r="E53" s="7"/>
      <c r="F53" s="7"/>
      <c r="G53" s="7"/>
      <c r="H53" s="7"/>
      <c r="I53" s="7"/>
      <c r="J53" s="7"/>
      <c r="K53" s="7"/>
      <c r="L53" s="7"/>
      <c r="M53" s="7"/>
      <c r="N53" s="8"/>
    </row>
    <row r="54" customFormat="false" ht="15" hidden="false" customHeight="false" outlineLevel="0" collapsed="false">
      <c r="A54" s="7"/>
      <c r="B54" s="7"/>
      <c r="C54" s="7"/>
      <c r="D54" s="7" t="str">
        <f aca="false">IF(LEFT(C54,1)="D","downside",IF(LEFT(C54,1)="T","trap",""))</f>
        <v/>
      </c>
      <c r="E54" s="7"/>
      <c r="F54" s="7"/>
      <c r="G54" s="7"/>
      <c r="H54" s="7"/>
      <c r="I54" s="7"/>
      <c r="J54" s="7"/>
      <c r="K54" s="7"/>
      <c r="L54" s="7"/>
      <c r="M54" s="7"/>
      <c r="N54" s="8"/>
    </row>
    <row r="55" customFormat="false" ht="15" hidden="false" customHeight="false" outlineLevel="0" collapsed="false">
      <c r="A55" s="7"/>
      <c r="B55" s="7"/>
      <c r="C55" s="7"/>
      <c r="D55" s="7" t="str">
        <f aca="false">IF(LEFT(C55,1)="D","downside",IF(LEFT(C55,1)="T","trap",""))</f>
        <v/>
      </c>
      <c r="E55" s="7"/>
      <c r="F55" s="7"/>
      <c r="G55" s="7"/>
      <c r="H55" s="7"/>
      <c r="I55" s="7"/>
      <c r="J55" s="7"/>
      <c r="K55" s="7"/>
      <c r="L55" s="7"/>
      <c r="M55" s="7"/>
      <c r="N55" s="8"/>
    </row>
    <row r="56" customFormat="false" ht="15" hidden="false" customHeight="false" outlineLevel="0" collapsed="false">
      <c r="A56" s="7"/>
      <c r="B56" s="7"/>
      <c r="C56" s="7"/>
      <c r="D56" s="7" t="str">
        <f aca="false">IF(LEFT(C56,1)="D","downside",IF(LEFT(C56,1)="T","trap",""))</f>
        <v/>
      </c>
      <c r="E56" s="7"/>
      <c r="F56" s="7"/>
      <c r="G56" s="7"/>
      <c r="H56" s="7"/>
      <c r="I56" s="7"/>
      <c r="J56" s="7"/>
      <c r="K56" s="7"/>
      <c r="L56" s="7"/>
      <c r="M56" s="7"/>
      <c r="N56" s="8"/>
    </row>
    <row r="57" customFormat="false" ht="15" hidden="false" customHeight="false" outlineLevel="0" collapsed="false">
      <c r="A57" s="7"/>
      <c r="B57" s="7"/>
      <c r="C57" s="7"/>
      <c r="D57" s="7" t="str">
        <f aca="false">IF(LEFT(C57,1)="D","downside",IF(LEFT(C57,1)="T","trap",""))</f>
        <v/>
      </c>
      <c r="E57" s="7"/>
      <c r="F57" s="7"/>
      <c r="G57" s="7"/>
      <c r="H57" s="7"/>
      <c r="I57" s="7"/>
      <c r="J57" s="7"/>
      <c r="K57" s="7"/>
      <c r="L57" s="7"/>
      <c r="M57" s="7"/>
      <c r="N57" s="8"/>
    </row>
    <row r="58" customFormat="false" ht="15" hidden="false" customHeight="false" outlineLevel="0" collapsed="false">
      <c r="A58" s="7"/>
      <c r="B58" s="7"/>
      <c r="C58" s="7"/>
      <c r="D58" s="7" t="str">
        <f aca="false">IF(LEFT(C58,1)="D","downside",IF(LEFT(C58,1)="T","trap",""))</f>
        <v/>
      </c>
      <c r="E58" s="7"/>
      <c r="F58" s="7"/>
      <c r="G58" s="7"/>
      <c r="H58" s="7"/>
      <c r="I58" s="7"/>
      <c r="J58" s="7"/>
      <c r="K58" s="7"/>
      <c r="L58" s="7"/>
      <c r="M58" s="7"/>
      <c r="N58" s="8"/>
    </row>
    <row r="59" customFormat="false" ht="15" hidden="false" customHeight="false" outlineLevel="0" collapsed="false">
      <c r="A59" s="7"/>
      <c r="B59" s="7"/>
      <c r="C59" s="7"/>
      <c r="D59" s="7" t="str">
        <f aca="false">IF(LEFT(C59,1)="D","downside",IF(LEFT(C59,1)="T","trap",""))</f>
        <v/>
      </c>
      <c r="E59" s="7"/>
      <c r="F59" s="7"/>
      <c r="G59" s="7"/>
      <c r="H59" s="7"/>
      <c r="I59" s="7"/>
      <c r="J59" s="7"/>
      <c r="K59" s="7"/>
      <c r="L59" s="7"/>
      <c r="M59" s="7"/>
      <c r="N59" s="8"/>
    </row>
    <row r="60" customFormat="false" ht="15" hidden="false" customHeight="false" outlineLevel="0" collapsed="false">
      <c r="A60" s="7"/>
      <c r="B60" s="7"/>
      <c r="C60" s="7"/>
      <c r="D60" s="7" t="str">
        <f aca="false">IF(LEFT(C60,1)="D","downside",IF(LEFT(C60,1)="T","trap",""))</f>
        <v/>
      </c>
      <c r="E60" s="7"/>
      <c r="F60" s="7"/>
      <c r="G60" s="7"/>
      <c r="H60" s="7"/>
      <c r="I60" s="7"/>
      <c r="J60" s="7"/>
      <c r="K60" s="7"/>
      <c r="L60" s="7"/>
      <c r="M60" s="7"/>
      <c r="N60" s="8"/>
    </row>
    <row r="61" customFormat="false" ht="15" hidden="false" customHeight="false" outlineLevel="0" collapsed="false">
      <c r="A61" s="7"/>
      <c r="B61" s="7"/>
      <c r="C61" s="7"/>
      <c r="D61" s="7" t="str">
        <f aca="false">IF(LEFT(C61,1)="D","downside",IF(LEFT(C61,1)="T","trap",""))</f>
        <v/>
      </c>
      <c r="E61" s="7"/>
      <c r="F61" s="7"/>
      <c r="G61" s="7"/>
      <c r="H61" s="7"/>
      <c r="I61" s="7"/>
      <c r="J61" s="7"/>
      <c r="K61" s="7"/>
      <c r="L61" s="7"/>
      <c r="M61" s="7"/>
      <c r="N61" s="8"/>
    </row>
    <row r="62" customFormat="false" ht="15" hidden="false" customHeight="false" outlineLevel="0" collapsed="false">
      <c r="A62" s="7"/>
      <c r="B62" s="7"/>
      <c r="C62" s="7"/>
      <c r="D62" s="7" t="str">
        <f aca="false">IF(LEFT(C62,1)="D","downside",IF(LEFT(C62,1)="T","trap",""))</f>
        <v/>
      </c>
      <c r="E62" s="7"/>
      <c r="F62" s="7"/>
      <c r="G62" s="7"/>
      <c r="H62" s="7"/>
      <c r="I62" s="7"/>
      <c r="J62" s="7"/>
      <c r="K62" s="7"/>
      <c r="L62" s="7"/>
      <c r="M62" s="7"/>
      <c r="N62" s="8"/>
    </row>
    <row r="63" customFormat="false" ht="15" hidden="false" customHeight="false" outlineLevel="0" collapsed="false">
      <c r="A63" s="7"/>
      <c r="B63" s="7"/>
      <c r="C63" s="7"/>
      <c r="D63" s="7" t="str">
        <f aca="false">IF(LEFT(C63,1)="D","downside",IF(LEFT(C63,1)="T","trap",""))</f>
        <v/>
      </c>
      <c r="E63" s="7"/>
      <c r="F63" s="7"/>
      <c r="G63" s="7"/>
      <c r="H63" s="7"/>
      <c r="I63" s="7"/>
      <c r="J63" s="7"/>
      <c r="K63" s="7"/>
      <c r="L63" s="7"/>
      <c r="M63" s="7"/>
      <c r="N63" s="8"/>
    </row>
    <row r="64" customFormat="false" ht="15" hidden="false" customHeight="false" outlineLevel="0" collapsed="false">
      <c r="A64" s="7"/>
      <c r="B64" s="7"/>
      <c r="C64" s="7"/>
      <c r="D64" s="7" t="str">
        <f aca="false">IF(LEFT(C64,1)="D","downside",IF(LEFT(C64,1)="T","trap",""))</f>
        <v/>
      </c>
      <c r="E64" s="7"/>
      <c r="F64" s="7"/>
      <c r="G64" s="7"/>
      <c r="H64" s="7"/>
      <c r="I64" s="7"/>
      <c r="J64" s="7"/>
      <c r="K64" s="7"/>
      <c r="L64" s="7"/>
      <c r="M64" s="7"/>
      <c r="N64" s="8"/>
    </row>
    <row r="65" customFormat="false" ht="15" hidden="false" customHeight="false" outlineLevel="0" collapsed="false">
      <c r="A65" s="7"/>
      <c r="B65" s="7"/>
      <c r="C65" s="7"/>
      <c r="D65" s="7" t="str">
        <f aca="false">IF(LEFT(C65,1)="D","downside",IF(LEFT(C65,1)="T","trap",""))</f>
        <v/>
      </c>
      <c r="E65" s="7"/>
      <c r="F65" s="7"/>
      <c r="G65" s="7"/>
      <c r="H65" s="7"/>
      <c r="I65" s="7"/>
      <c r="J65" s="7"/>
      <c r="K65" s="7"/>
      <c r="L65" s="7"/>
      <c r="M65" s="7"/>
      <c r="N65" s="8"/>
    </row>
    <row r="66" customFormat="false" ht="15" hidden="false" customHeight="false" outlineLevel="0" collapsed="false">
      <c r="A66" s="7"/>
      <c r="B66" s="7"/>
      <c r="C66" s="7"/>
      <c r="D66" s="7" t="str">
        <f aca="false">IF(LEFT(C66,1)="D","downside",IF(LEFT(C66,1)="T","trap",""))</f>
        <v/>
      </c>
      <c r="E66" s="7"/>
      <c r="F66" s="7"/>
      <c r="G66" s="7"/>
      <c r="H66" s="7"/>
      <c r="I66" s="7"/>
      <c r="J66" s="7"/>
      <c r="K66" s="7"/>
      <c r="L66" s="7"/>
      <c r="M66" s="7"/>
      <c r="N66" s="8"/>
    </row>
    <row r="67" customFormat="false" ht="15" hidden="false" customHeight="false" outlineLevel="0" collapsed="false">
      <c r="A67" s="7"/>
      <c r="B67" s="7"/>
      <c r="C67" s="7"/>
      <c r="D67" s="7" t="str">
        <f aca="false">IF(LEFT(C67,1)="D","downside",IF(LEFT(C67,1)="T","trap",""))</f>
        <v/>
      </c>
      <c r="E67" s="7"/>
      <c r="F67" s="7"/>
      <c r="G67" s="7"/>
      <c r="H67" s="7"/>
      <c r="I67" s="7"/>
      <c r="J67" s="7"/>
      <c r="K67" s="7"/>
      <c r="L67" s="7"/>
      <c r="M67" s="7"/>
      <c r="N67" s="8"/>
    </row>
    <row r="68" customFormat="false" ht="15" hidden="false" customHeight="false" outlineLevel="0" collapsed="false">
      <c r="A68" s="7"/>
      <c r="B68" s="7"/>
      <c r="C68" s="7"/>
      <c r="D68" s="7" t="str">
        <f aca="false">IF(LEFT(C68,1)="D","downside",IF(LEFT(C68,1)="T","trap",""))</f>
        <v/>
      </c>
      <c r="E68" s="7"/>
      <c r="F68" s="7"/>
      <c r="G68" s="7"/>
      <c r="H68" s="7"/>
      <c r="I68" s="7"/>
      <c r="J68" s="7"/>
      <c r="K68" s="7"/>
      <c r="L68" s="7"/>
      <c r="M68" s="7"/>
      <c r="N68" s="8"/>
    </row>
    <row r="69" customFormat="false" ht="15" hidden="false" customHeight="false" outlineLevel="0" collapsed="false">
      <c r="A69" s="7"/>
      <c r="B69" s="7"/>
      <c r="C69" s="7"/>
      <c r="D69" s="7" t="str">
        <f aca="false">IF(LEFT(C69,1)="D","downside",IF(LEFT(C69,1)="T","trap",""))</f>
        <v/>
      </c>
      <c r="E69" s="7"/>
      <c r="F69" s="7"/>
      <c r="G69" s="7"/>
      <c r="H69" s="7"/>
      <c r="I69" s="7"/>
      <c r="J69" s="7"/>
      <c r="K69" s="7"/>
      <c r="L69" s="7"/>
      <c r="M69" s="7"/>
      <c r="N69" s="8"/>
    </row>
    <row r="70" customFormat="false" ht="15" hidden="false" customHeight="false" outlineLevel="0" collapsed="false">
      <c r="A70" s="7"/>
      <c r="B70" s="7"/>
      <c r="C70" s="7"/>
      <c r="D70" s="7" t="str">
        <f aca="false">IF(LEFT(C70,1)="D","downside",IF(LEFT(C70,1)="T","trap",""))</f>
        <v/>
      </c>
      <c r="E70" s="7"/>
      <c r="F70" s="7"/>
      <c r="G70" s="7"/>
      <c r="H70" s="7"/>
      <c r="I70" s="7"/>
      <c r="J70" s="7"/>
      <c r="K70" s="7"/>
      <c r="L70" s="7"/>
      <c r="M70" s="7"/>
      <c r="N70" s="8"/>
    </row>
    <row r="71" customFormat="false" ht="15" hidden="false" customHeight="false" outlineLevel="0" collapsed="false">
      <c r="A71" s="7"/>
      <c r="B71" s="7"/>
      <c r="C71" s="7"/>
      <c r="D71" s="7" t="str">
        <f aca="false">IF(LEFT(C71,1)="D","downside",IF(LEFT(C71,1)="T","trap",""))</f>
        <v/>
      </c>
      <c r="E71" s="7"/>
      <c r="F71" s="7"/>
      <c r="G71" s="7"/>
      <c r="H71" s="7"/>
      <c r="I71" s="7"/>
      <c r="J71" s="7"/>
      <c r="K71" s="7"/>
      <c r="L71" s="7"/>
      <c r="M71" s="7"/>
      <c r="N71" s="8"/>
    </row>
    <row r="72" customFormat="false" ht="15" hidden="false" customHeight="false" outlineLevel="0" collapsed="false">
      <c r="A72" s="7"/>
      <c r="B72" s="7"/>
      <c r="C72" s="7"/>
      <c r="D72" s="7" t="str">
        <f aca="false">IF(LEFT(C72,1)="D","downside",IF(LEFT(C72,1)="T","trap",""))</f>
        <v/>
      </c>
      <c r="E72" s="7"/>
      <c r="F72" s="7"/>
      <c r="G72" s="7"/>
      <c r="H72" s="7"/>
      <c r="I72" s="7"/>
      <c r="J72" s="7"/>
      <c r="K72" s="7"/>
      <c r="L72" s="7"/>
      <c r="M72" s="7"/>
      <c r="N72" s="8"/>
    </row>
    <row r="73" customFormat="false" ht="15" hidden="false" customHeight="false" outlineLevel="0" collapsed="false">
      <c r="A73" s="7"/>
      <c r="B73" s="7"/>
      <c r="C73" s="7"/>
      <c r="D73" s="7" t="str">
        <f aca="false">IF(LEFT(C73,1)="D","downside",IF(LEFT(C73,1)="T","trap",""))</f>
        <v/>
      </c>
      <c r="E73" s="7"/>
      <c r="F73" s="7"/>
      <c r="G73" s="7"/>
      <c r="H73" s="7"/>
      <c r="I73" s="7"/>
      <c r="J73" s="7"/>
      <c r="K73" s="7"/>
      <c r="L73" s="7"/>
      <c r="M73" s="7"/>
      <c r="N73" s="8"/>
    </row>
  </sheetData>
  <dataValidations count="3">
    <dataValidation allowBlank="true" errorStyle="stop" operator="between" showDropDown="false" showErrorMessage="false" showInputMessage="false" sqref="C2:C73" type="list">
      <formula1>"T1,T2,T3,T4,T5,T6,D1,D2,D3,D4,D5,D6"</formula1>
      <formula2>0</formula2>
    </dataValidation>
    <dataValidation allowBlank="true" errorStyle="stop" operator="between" showDropDown="false" showErrorMessage="false" showInputMessage="false" sqref="F2:F73 H2:H73 J2:J73 L2:L73" type="list">
      <formula1>"spec,generic,plain,tie"</formula1>
      <formula2>0</formula2>
    </dataValidation>
    <dataValidation allowBlank="true" errorStyle="stop" operator="between" showDropDown="false" showErrorMessage="false" showInputMessage="false" sqref="G2:G73 I2:I73 K2:K73 M2:M73" type="list">
      <formula1>"decisive,moderate,slight"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9" t="s">
        <v>36</v>
      </c>
    </row>
    <row r="5" customFormat="false" ht="15" hidden="false" customHeight="false" outlineLevel="0" collapsed="false">
      <c r="A5" s="10" t="s">
        <v>37</v>
      </c>
      <c r="B5" s="10" t="s">
        <v>38</v>
      </c>
      <c r="C5" s="10" t="s">
        <v>39</v>
      </c>
      <c r="D5" s="10" t="s">
        <v>40</v>
      </c>
      <c r="E5" s="10" t="s">
        <v>41</v>
      </c>
      <c r="F5" s="10" t="s">
        <v>42</v>
      </c>
    </row>
    <row r="6" customFormat="false" ht="15" hidden="false" customHeight="false" outlineLevel="0" collapsed="false">
      <c r="A6" s="11" t="s">
        <v>43</v>
      </c>
      <c r="B6" s="11" t="n">
        <f aca="false">COUNTIFS(Scoresheet!$F$2:$F$73,"spec")</f>
        <v>0</v>
      </c>
      <c r="C6" s="11" t="n">
        <f aca="false">COUNTIFS(Scoresheet!$F$2:$F$73,"generic")</f>
        <v>0</v>
      </c>
      <c r="D6" s="11" t="n">
        <f aca="false">COUNTIFS(Scoresheet!$F$2:$F$73,"tie")</f>
        <v>0</v>
      </c>
      <c r="E6" s="11" t="n">
        <f aca="false">B6-C6</f>
        <v>0</v>
      </c>
      <c r="F6" s="11" t="n">
        <f aca="false">3*COUNTIFS(Scoresheet!$F$2:$F$73,"spec",Scoresheet!$G$2:$G$73,"decisive")+2*COUNTIFS(Scoresheet!$F$2:$F$73,"spec",Scoresheet!$G$2:$G$73,"moderate")+1*COUNTIFS(Scoresheet!$F$2:$F$73,"spec",Scoresheet!$G$2:$G$73,"slight")-3*COUNTIFS(Scoresheet!$F$2:$F$73,"generic",Scoresheet!$G$2:$G$73,"decisive")-2*COUNTIFS(Scoresheet!$F$2:$F$73,"generic",Scoresheet!$G$2:$G$73,"moderate")-1*COUNTIFS(Scoresheet!$F$2:$F$73,"generic",Scoresheet!$G$2:$G$73,"slight")</f>
        <v>0</v>
      </c>
    </row>
    <row r="7" customFormat="false" ht="15" hidden="false" customHeight="false" outlineLevel="0" collapsed="false">
      <c r="A7" s="11" t="s">
        <v>44</v>
      </c>
      <c r="B7" s="11" t="n">
        <f aca="false">COUNTIFS(Scoresheet!$H$2:$H$73,"spec")</f>
        <v>0</v>
      </c>
      <c r="C7" s="11" t="n">
        <f aca="false">COUNTIFS(Scoresheet!$H$2:$H$73,"generic")</f>
        <v>0</v>
      </c>
      <c r="D7" s="11" t="n">
        <f aca="false">COUNTIFS(Scoresheet!$H$2:$H$73,"tie")</f>
        <v>0</v>
      </c>
      <c r="E7" s="11" t="n">
        <f aca="false">B7-C7</f>
        <v>0</v>
      </c>
      <c r="F7" s="11" t="n">
        <f aca="false">3*COUNTIFS(Scoresheet!$H$2:$H$73,"spec",Scoresheet!$I$2:$I$73,"decisive")+2*COUNTIFS(Scoresheet!$H$2:$H$73,"spec",Scoresheet!$I$2:$I$73,"moderate")+1*COUNTIFS(Scoresheet!$H$2:$H$73,"spec",Scoresheet!$I$2:$I$73,"slight")-3*COUNTIFS(Scoresheet!$H$2:$H$73,"generic",Scoresheet!$I$2:$I$73,"decisive")-2*COUNTIFS(Scoresheet!$H$2:$H$73,"generic",Scoresheet!$I$2:$I$73,"moderate")-1*COUNTIFS(Scoresheet!$H$2:$H$73,"generic",Scoresheet!$I$2:$I$73,"slight")</f>
        <v>0</v>
      </c>
    </row>
    <row r="8" customFormat="false" ht="15" hidden="false" customHeight="false" outlineLevel="0" collapsed="false">
      <c r="A8" s="11" t="s">
        <v>45</v>
      </c>
      <c r="B8" s="11" t="n">
        <f aca="false">COUNTIFS(Scoresheet!$J$2:$J$73,"spec")</f>
        <v>0</v>
      </c>
      <c r="C8" s="11" t="n">
        <f aca="false">COUNTIFS(Scoresheet!$J$2:$J$73,"generic")</f>
        <v>0</v>
      </c>
      <c r="D8" s="11" t="n">
        <f aca="false">COUNTIFS(Scoresheet!$J$2:$J$73,"tie")</f>
        <v>0</v>
      </c>
      <c r="E8" s="11" t="n">
        <f aca="false">B8-C8</f>
        <v>0</v>
      </c>
      <c r="F8" s="11" t="n">
        <f aca="false">3*COUNTIFS(Scoresheet!$J$2:$J$73,"spec",Scoresheet!$K$2:$K$73,"decisive")+2*COUNTIFS(Scoresheet!$J$2:$J$73,"spec",Scoresheet!$K$2:$K$73,"moderate")+1*COUNTIFS(Scoresheet!$J$2:$J$73,"spec",Scoresheet!$K$2:$K$73,"slight")-3*COUNTIFS(Scoresheet!$J$2:$J$73,"generic",Scoresheet!$K$2:$K$73,"decisive")-2*COUNTIFS(Scoresheet!$J$2:$J$73,"generic",Scoresheet!$K$2:$K$73,"moderate")-1*COUNTIFS(Scoresheet!$J$2:$J$73,"generic",Scoresheet!$K$2:$K$73,"slight")</f>
        <v>0</v>
      </c>
    </row>
    <row r="9" customFormat="false" ht="15" hidden="false" customHeight="false" outlineLevel="0" collapsed="false">
      <c r="A9" s="11" t="s">
        <v>46</v>
      </c>
      <c r="B9" s="11" t="n">
        <f aca="false">COUNTIFS(Scoresheet!$L$2:$L$73,"spec")</f>
        <v>0</v>
      </c>
      <c r="C9" s="11" t="n">
        <f aca="false">COUNTIFS(Scoresheet!$L$2:$L$73,"generic")</f>
        <v>0</v>
      </c>
      <c r="D9" s="11" t="n">
        <f aca="false">COUNTIFS(Scoresheet!$L$2:$L$73,"tie")</f>
        <v>0</v>
      </c>
      <c r="E9" s="11" t="n">
        <f aca="false">B9-C9</f>
        <v>0</v>
      </c>
      <c r="F9" s="11" t="n">
        <f aca="false">3*COUNTIFS(Scoresheet!$L$2:$L$73,"spec",Scoresheet!$M$2:$M$73,"decisive")+2*COUNTIFS(Scoresheet!$L$2:$L$73,"spec",Scoresheet!$M$2:$M$73,"moderate")+1*COUNTIFS(Scoresheet!$L$2:$L$73,"spec",Scoresheet!$M$2:$M$73,"slight")-3*COUNTIFS(Scoresheet!$L$2:$L$73,"generic",Scoresheet!$M$2:$M$73,"decisive")-2*COUNTIFS(Scoresheet!$L$2:$L$73,"generic",Scoresheet!$M$2:$M$73,"moderate")-1*COUNTIFS(Scoresheet!$L$2:$L$73,"generic",Scoresheet!$M$2:$M$73,"slight")</f>
        <v>0</v>
      </c>
    </row>
    <row r="12" customFormat="false" ht="15" hidden="false" customHeight="false" outlineLevel="0" collapsed="false">
      <c r="A12" s="9" t="s">
        <v>47</v>
      </c>
    </row>
    <row r="13" customFormat="false" ht="15" hidden="false" customHeight="false" outlineLevel="0" collapsed="false">
      <c r="A13" s="10" t="s">
        <v>37</v>
      </c>
      <c r="B13" s="10" t="s">
        <v>38</v>
      </c>
      <c r="C13" s="10" t="s">
        <v>39</v>
      </c>
      <c r="D13" s="10" t="s">
        <v>40</v>
      </c>
      <c r="E13" s="10" t="s">
        <v>41</v>
      </c>
      <c r="F13" s="10" t="s">
        <v>42</v>
      </c>
    </row>
    <row r="14" customFormat="false" ht="15" hidden="false" customHeight="false" outlineLevel="0" collapsed="false">
      <c r="A14" s="12" t="s">
        <v>43</v>
      </c>
      <c r="B14" s="12" t="n">
        <f aca="false">COUNTIFS(Scoresheet!$F$2:$F$73,"spec",Scoresheet!$D$2:$D$73,"trap")</f>
        <v>0</v>
      </c>
      <c r="C14" s="12" t="n">
        <f aca="false">COUNTIFS(Scoresheet!$F$2:$F$73,"generic",Scoresheet!$D$2:$D$73,"trap")</f>
        <v>0</v>
      </c>
      <c r="D14" s="12" t="n">
        <f aca="false">COUNTIFS(Scoresheet!$F$2:$F$73,"tie",Scoresheet!$D$2:$D$73,"trap")</f>
        <v>0</v>
      </c>
      <c r="E14" s="12" t="n">
        <f aca="false">B14-C14</f>
        <v>0</v>
      </c>
      <c r="F14" s="12" t="n">
        <f aca="false">3*COUNTIFS(Scoresheet!$F$2:$F$73,"spec",Scoresheet!$D$2:$D$73,"trap",Scoresheet!$G$2:$G$73,"decisive")+2*COUNTIFS(Scoresheet!$F$2:$F$73,"spec",Scoresheet!$D$2:$D$73,"trap",Scoresheet!$G$2:$G$73,"moderate")+1*COUNTIFS(Scoresheet!$F$2:$F$73,"spec",Scoresheet!$D$2:$D$73,"trap",Scoresheet!$G$2:$G$73,"slight")-3*COUNTIFS(Scoresheet!$F$2:$F$73,"generic",Scoresheet!$D$2:$D$73,"trap",Scoresheet!$G$2:$G$73,"decisive")-2*COUNTIFS(Scoresheet!$F$2:$F$73,"generic",Scoresheet!$D$2:$D$73,"trap",Scoresheet!$G$2:$G$73,"moderate")-1*COUNTIFS(Scoresheet!$F$2:$F$73,"generic",Scoresheet!$D$2:$D$73,"trap",Scoresheet!$G$2:$G$73,"slight")</f>
        <v>0</v>
      </c>
    </row>
    <row r="15" customFormat="false" ht="15" hidden="false" customHeight="false" outlineLevel="0" collapsed="false">
      <c r="A15" s="12" t="s">
        <v>44</v>
      </c>
      <c r="B15" s="12" t="n">
        <f aca="false">COUNTIFS(Scoresheet!$H$2:$H$73,"spec",Scoresheet!$D$2:$D$73,"trap")</f>
        <v>0</v>
      </c>
      <c r="C15" s="12" t="n">
        <f aca="false">COUNTIFS(Scoresheet!$H$2:$H$73,"generic",Scoresheet!$D$2:$D$73,"trap")</f>
        <v>0</v>
      </c>
      <c r="D15" s="12" t="n">
        <f aca="false">COUNTIFS(Scoresheet!$H$2:$H$73,"tie",Scoresheet!$D$2:$D$73,"trap")</f>
        <v>0</v>
      </c>
      <c r="E15" s="12" t="n">
        <f aca="false">B15-C15</f>
        <v>0</v>
      </c>
      <c r="F15" s="12" t="n">
        <f aca="false">3*COUNTIFS(Scoresheet!$H$2:$H$73,"spec",Scoresheet!$D$2:$D$73,"trap",Scoresheet!$I$2:$I$73,"decisive")+2*COUNTIFS(Scoresheet!$H$2:$H$73,"spec",Scoresheet!$D$2:$D$73,"trap",Scoresheet!$I$2:$I$73,"moderate")+1*COUNTIFS(Scoresheet!$H$2:$H$73,"spec",Scoresheet!$D$2:$D$73,"trap",Scoresheet!$I$2:$I$73,"slight")-3*COUNTIFS(Scoresheet!$H$2:$H$73,"generic",Scoresheet!$D$2:$D$73,"trap",Scoresheet!$I$2:$I$73,"decisive")-2*COUNTIFS(Scoresheet!$H$2:$H$73,"generic",Scoresheet!$D$2:$D$73,"trap",Scoresheet!$I$2:$I$73,"moderate")-1*COUNTIFS(Scoresheet!$H$2:$H$73,"generic",Scoresheet!$D$2:$D$73,"trap",Scoresheet!$I$2:$I$73,"slight")</f>
        <v>0</v>
      </c>
    </row>
    <row r="16" customFormat="false" ht="15" hidden="false" customHeight="false" outlineLevel="0" collapsed="false">
      <c r="A16" s="12" t="s">
        <v>45</v>
      </c>
      <c r="B16" s="12" t="n">
        <f aca="false">COUNTIFS(Scoresheet!$J$2:$J$73,"spec",Scoresheet!$D$2:$D$73,"trap")</f>
        <v>0</v>
      </c>
      <c r="C16" s="12" t="n">
        <f aca="false">COUNTIFS(Scoresheet!$J$2:$J$73,"generic",Scoresheet!$D$2:$D$73,"trap")</f>
        <v>0</v>
      </c>
      <c r="D16" s="12" t="n">
        <f aca="false">COUNTIFS(Scoresheet!$J$2:$J$73,"tie",Scoresheet!$D$2:$D$73,"trap")</f>
        <v>0</v>
      </c>
      <c r="E16" s="12" t="n">
        <f aca="false">B16-C16</f>
        <v>0</v>
      </c>
      <c r="F16" s="12" t="n">
        <f aca="false">3*COUNTIFS(Scoresheet!$J$2:$J$73,"spec",Scoresheet!$D$2:$D$73,"trap",Scoresheet!$K$2:$K$73,"decisive")+2*COUNTIFS(Scoresheet!$J$2:$J$73,"spec",Scoresheet!$D$2:$D$73,"trap",Scoresheet!$K$2:$K$73,"moderate")+1*COUNTIFS(Scoresheet!$J$2:$J$73,"spec",Scoresheet!$D$2:$D$73,"trap",Scoresheet!$K$2:$K$73,"slight")-3*COUNTIFS(Scoresheet!$J$2:$J$73,"generic",Scoresheet!$D$2:$D$73,"trap",Scoresheet!$K$2:$K$73,"decisive")-2*COUNTIFS(Scoresheet!$J$2:$J$73,"generic",Scoresheet!$D$2:$D$73,"trap",Scoresheet!$K$2:$K$73,"moderate")-1*COUNTIFS(Scoresheet!$J$2:$J$73,"generic",Scoresheet!$D$2:$D$73,"trap",Scoresheet!$K$2:$K$73,"slight")</f>
        <v>0</v>
      </c>
    </row>
    <row r="17" customFormat="false" ht="15" hidden="false" customHeight="false" outlineLevel="0" collapsed="false">
      <c r="A17" s="12" t="s">
        <v>46</v>
      </c>
      <c r="B17" s="12" t="n">
        <f aca="false">COUNTIFS(Scoresheet!$L$2:$L$73,"spec",Scoresheet!$D$2:$D$73,"trap")</f>
        <v>0</v>
      </c>
      <c r="C17" s="12" t="n">
        <f aca="false">COUNTIFS(Scoresheet!$L$2:$L$73,"generic",Scoresheet!$D$2:$D$73,"trap")</f>
        <v>0</v>
      </c>
      <c r="D17" s="12" t="n">
        <f aca="false">COUNTIFS(Scoresheet!$L$2:$L$73,"tie",Scoresheet!$D$2:$D$73,"trap")</f>
        <v>0</v>
      </c>
      <c r="E17" s="12" t="n">
        <f aca="false">B17-C17</f>
        <v>0</v>
      </c>
      <c r="F17" s="12" t="n">
        <f aca="false">3*COUNTIFS(Scoresheet!$L$2:$L$73,"spec",Scoresheet!$D$2:$D$73,"trap",Scoresheet!$M$2:$M$73,"decisive")+2*COUNTIFS(Scoresheet!$L$2:$L$73,"spec",Scoresheet!$D$2:$D$73,"trap",Scoresheet!$M$2:$M$73,"moderate")+1*COUNTIFS(Scoresheet!$L$2:$L$73,"spec",Scoresheet!$D$2:$D$73,"trap",Scoresheet!$M$2:$M$73,"slight")-3*COUNTIFS(Scoresheet!$L$2:$L$73,"generic",Scoresheet!$D$2:$D$73,"trap",Scoresheet!$M$2:$M$73,"decisive")-2*COUNTIFS(Scoresheet!$L$2:$L$73,"generic",Scoresheet!$D$2:$D$73,"trap",Scoresheet!$M$2:$M$73,"moderate")-1*COUNTIFS(Scoresheet!$L$2:$L$73,"generic",Scoresheet!$D$2:$D$73,"trap",Scoresheet!$M$2:$M$73,"slight")</f>
        <v>0</v>
      </c>
    </row>
    <row r="20" customFormat="false" ht="15" hidden="false" customHeight="false" outlineLevel="0" collapsed="false">
      <c r="A20" s="9" t="s">
        <v>48</v>
      </c>
    </row>
    <row r="21" customFormat="false" ht="15" hidden="false" customHeight="false" outlineLevel="0" collapsed="false">
      <c r="A21" s="10" t="s">
        <v>37</v>
      </c>
      <c r="B21" s="10" t="s">
        <v>38</v>
      </c>
      <c r="C21" s="10" t="s">
        <v>39</v>
      </c>
      <c r="D21" s="10" t="s">
        <v>40</v>
      </c>
      <c r="E21" s="10" t="s">
        <v>41</v>
      </c>
      <c r="F21" s="10" t="s">
        <v>42</v>
      </c>
    </row>
    <row r="22" customFormat="false" ht="15" hidden="false" customHeight="false" outlineLevel="0" collapsed="false">
      <c r="A22" s="13" t="s">
        <v>43</v>
      </c>
      <c r="B22" s="13" t="n">
        <f aca="false">COUNTIFS(Scoresheet!$F$2:$F$73,"spec",Scoresheet!$D$2:$D$73,"downside")</f>
        <v>0</v>
      </c>
      <c r="C22" s="13" t="n">
        <f aca="false">COUNTIFS(Scoresheet!$F$2:$F$73,"generic",Scoresheet!$D$2:$D$73,"downside")</f>
        <v>0</v>
      </c>
      <c r="D22" s="13" t="n">
        <f aca="false">COUNTIFS(Scoresheet!$F$2:$F$73,"tie",Scoresheet!$D$2:$D$73,"downside")</f>
        <v>0</v>
      </c>
      <c r="E22" s="13" t="n">
        <f aca="false">B22-C22</f>
        <v>0</v>
      </c>
      <c r="F22" s="13" t="n">
        <f aca="false">3*COUNTIFS(Scoresheet!$F$2:$F$73,"spec",Scoresheet!$D$2:$D$73,"downside",Scoresheet!$G$2:$G$73,"decisive")+2*COUNTIFS(Scoresheet!$F$2:$F$73,"spec",Scoresheet!$D$2:$D$73,"downside",Scoresheet!$G$2:$G$73,"moderate")+1*COUNTIFS(Scoresheet!$F$2:$F$73,"spec",Scoresheet!$D$2:$D$73,"downside",Scoresheet!$G$2:$G$73,"slight")-3*COUNTIFS(Scoresheet!$F$2:$F$73,"generic",Scoresheet!$D$2:$D$73,"downside",Scoresheet!$G$2:$G$73,"decisive")-2*COUNTIFS(Scoresheet!$F$2:$F$73,"generic",Scoresheet!$D$2:$D$73,"downside",Scoresheet!$G$2:$G$73,"moderate")-1*COUNTIFS(Scoresheet!$F$2:$F$73,"generic",Scoresheet!$D$2:$D$73,"downside",Scoresheet!$G$2:$G$73,"slight")</f>
        <v>0</v>
      </c>
    </row>
    <row r="23" customFormat="false" ht="15" hidden="false" customHeight="false" outlineLevel="0" collapsed="false">
      <c r="A23" s="13" t="s">
        <v>44</v>
      </c>
      <c r="B23" s="13" t="n">
        <f aca="false">COUNTIFS(Scoresheet!$H$2:$H$73,"spec",Scoresheet!$D$2:$D$73,"downside")</f>
        <v>0</v>
      </c>
      <c r="C23" s="13" t="n">
        <f aca="false">COUNTIFS(Scoresheet!$H$2:$H$73,"generic",Scoresheet!$D$2:$D$73,"downside")</f>
        <v>0</v>
      </c>
      <c r="D23" s="13" t="n">
        <f aca="false">COUNTIFS(Scoresheet!$H$2:$H$73,"tie",Scoresheet!$D$2:$D$73,"downside")</f>
        <v>0</v>
      </c>
      <c r="E23" s="13" t="n">
        <f aca="false">B23-C23</f>
        <v>0</v>
      </c>
      <c r="F23" s="13" t="n">
        <f aca="false">3*COUNTIFS(Scoresheet!$H$2:$H$73,"spec",Scoresheet!$D$2:$D$73,"downside",Scoresheet!$I$2:$I$73,"decisive")+2*COUNTIFS(Scoresheet!$H$2:$H$73,"spec",Scoresheet!$D$2:$D$73,"downside",Scoresheet!$I$2:$I$73,"moderate")+1*COUNTIFS(Scoresheet!$H$2:$H$73,"spec",Scoresheet!$D$2:$D$73,"downside",Scoresheet!$I$2:$I$73,"slight")-3*COUNTIFS(Scoresheet!$H$2:$H$73,"generic",Scoresheet!$D$2:$D$73,"downside",Scoresheet!$I$2:$I$73,"decisive")-2*COUNTIFS(Scoresheet!$H$2:$H$73,"generic",Scoresheet!$D$2:$D$73,"downside",Scoresheet!$I$2:$I$73,"moderate")-1*COUNTIFS(Scoresheet!$H$2:$H$73,"generic",Scoresheet!$D$2:$D$73,"downside",Scoresheet!$I$2:$I$73,"slight")</f>
        <v>0</v>
      </c>
    </row>
    <row r="24" customFormat="false" ht="15" hidden="false" customHeight="false" outlineLevel="0" collapsed="false">
      <c r="A24" s="13" t="s">
        <v>45</v>
      </c>
      <c r="B24" s="13" t="n">
        <f aca="false">COUNTIFS(Scoresheet!$J$2:$J$73,"spec",Scoresheet!$D$2:$D$73,"downside")</f>
        <v>0</v>
      </c>
      <c r="C24" s="13" t="n">
        <f aca="false">COUNTIFS(Scoresheet!$J$2:$J$73,"generic",Scoresheet!$D$2:$D$73,"downside")</f>
        <v>0</v>
      </c>
      <c r="D24" s="13" t="n">
        <f aca="false">COUNTIFS(Scoresheet!$J$2:$J$73,"tie",Scoresheet!$D$2:$D$73,"downside")</f>
        <v>0</v>
      </c>
      <c r="E24" s="13" t="n">
        <f aca="false">B24-C24</f>
        <v>0</v>
      </c>
      <c r="F24" s="13" t="n">
        <f aca="false">3*COUNTIFS(Scoresheet!$J$2:$J$73,"spec",Scoresheet!$D$2:$D$73,"downside",Scoresheet!$K$2:$K$73,"decisive")+2*COUNTIFS(Scoresheet!$J$2:$J$73,"spec",Scoresheet!$D$2:$D$73,"downside",Scoresheet!$K$2:$K$73,"moderate")+1*COUNTIFS(Scoresheet!$J$2:$J$73,"spec",Scoresheet!$D$2:$D$73,"downside",Scoresheet!$K$2:$K$73,"slight")-3*COUNTIFS(Scoresheet!$J$2:$J$73,"generic",Scoresheet!$D$2:$D$73,"downside",Scoresheet!$K$2:$K$73,"decisive")-2*COUNTIFS(Scoresheet!$J$2:$J$73,"generic",Scoresheet!$D$2:$D$73,"downside",Scoresheet!$K$2:$K$73,"moderate")-1*COUNTIFS(Scoresheet!$J$2:$J$73,"generic",Scoresheet!$D$2:$D$73,"downside",Scoresheet!$K$2:$K$73,"slight")</f>
        <v>0</v>
      </c>
    </row>
    <row r="25" customFormat="false" ht="15" hidden="false" customHeight="false" outlineLevel="0" collapsed="false">
      <c r="A25" s="13" t="s">
        <v>46</v>
      </c>
      <c r="B25" s="13" t="n">
        <f aca="false">COUNTIFS(Scoresheet!$L$2:$L$73,"spec",Scoresheet!$D$2:$D$73,"downside")</f>
        <v>0</v>
      </c>
      <c r="C25" s="13" t="n">
        <f aca="false">COUNTIFS(Scoresheet!$L$2:$L$73,"generic",Scoresheet!$D$2:$D$73,"downside")</f>
        <v>0</v>
      </c>
      <c r="D25" s="13" t="n">
        <f aca="false">COUNTIFS(Scoresheet!$L$2:$L$73,"tie",Scoresheet!$D$2:$D$73,"downside")</f>
        <v>0</v>
      </c>
      <c r="E25" s="13" t="n">
        <f aca="false">B25-C25</f>
        <v>0</v>
      </c>
      <c r="F25" s="13" t="n">
        <f aca="false">3*COUNTIFS(Scoresheet!$L$2:$L$73,"spec",Scoresheet!$D$2:$D$73,"downside",Scoresheet!$M$2:$M$73,"decisive")+2*COUNTIFS(Scoresheet!$L$2:$L$73,"spec",Scoresheet!$D$2:$D$73,"downside",Scoresheet!$M$2:$M$73,"moderate")+1*COUNTIFS(Scoresheet!$L$2:$L$73,"spec",Scoresheet!$D$2:$D$73,"downside",Scoresheet!$M$2:$M$73,"slight")-3*COUNTIFS(Scoresheet!$L$2:$L$73,"generic",Scoresheet!$D$2:$D$73,"downside",Scoresheet!$M$2:$M$73,"decisive")-2*COUNTIFS(Scoresheet!$L$2:$L$73,"generic",Scoresheet!$D$2:$D$73,"downside",Scoresheet!$M$2:$M$73,"moderate")-1*COUNTIFS(Scoresheet!$L$2:$L$73,"generic",Scoresheet!$D$2:$D$73,"downside",Scoresheet!$M$2:$M$73,"slight")</f>
        <v>0</v>
      </c>
    </row>
    <row r="28" customFormat="false" ht="22.35" hidden="false" customHeight="true" outlineLevel="0" collapsed="false">
      <c r="A28" s="14" t="s">
        <v>49</v>
      </c>
      <c r="B28" s="14"/>
      <c r="C28" s="14"/>
      <c r="D28" s="14"/>
      <c r="E28" s="14"/>
      <c r="F28" s="14"/>
    </row>
  </sheetData>
  <mergeCells count="1"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2026-07-03T12:17:12Z</dcterms:created>
  <dc:creator>openpyxl</dc:creator>
  <dc:description/>
  <dc:language>en-US</dc:language>
  <cp:lastModifiedBy/>
  <dcterms:modified xsi:type="dcterms:W3CDTF">2026-07-03T12:17:12Z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